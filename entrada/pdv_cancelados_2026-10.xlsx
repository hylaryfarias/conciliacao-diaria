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4"/>
  </sheets>
  <calcPr calcId="171027"/>
</workbook>
</file>

<file path=xl/sharedStrings.xml><?xml version="1.0" encoding="utf-8"?>
<sst xmlns="http://schemas.openxmlformats.org/spreadsheetml/2006/main" count="698" uniqueCount="254">
  <si>
    <t>Cód. ref.</t>
  </si>
  <si>
    <t>Filial</t>
  </si>
  <si>
    <t>Caixa</t>
  </si>
  <si>
    <t>Data</t>
  </si>
  <si>
    <t>Cupom</t>
  </si>
  <si>
    <t>Hora</t>
  </si>
  <si>
    <t>Total</t>
  </si>
  <si>
    <t>Operador</t>
  </si>
  <si>
    <t>Número do cliente</t>
  </si>
  <si>
    <t>Nome do cliente</t>
  </si>
  <si>
    <t>Nome fantasia</t>
  </si>
  <si>
    <t>CPF/CNPJ</t>
  </si>
  <si>
    <t>Item</t>
  </si>
  <si>
    <t>Produto</t>
  </si>
  <si>
    <t>Preço</t>
  </si>
  <si>
    <t>Qtde.</t>
  </si>
  <si>
    <t>Acrésc./desc.</t>
  </si>
  <si>
    <t>Nr. mesa/comanda</t>
  </si>
  <si>
    <t>Dt. lançamento mesa/comanda</t>
  </si>
  <si>
    <t>Nr. atendente</t>
  </si>
  <si>
    <t>Nome do atendente</t>
  </si>
  <si>
    <t>Promoção</t>
  </si>
  <si>
    <t>20.0641</t>
  </si>
  <si>
    <t>BIGGS 11 - SANTO AMARO</t>
  </si>
  <si>
    <t>001 - BG11 - PDV 001</t>
  </si>
  <si>
    <t>08/10/2026</t>
  </si>
  <si>
    <t>51421</t>
  </si>
  <si>
    <t>10:15:10</t>
  </si>
  <si>
    <t>SUPORTE CLOUDFY RAGGA</t>
  </si>
  <si>
    <t>1</t>
  </si>
  <si>
    <t>AD MILHO PANQUECAS</t>
  </si>
  <si>
    <t>29999</t>
  </si>
  <si>
    <t>23.0158</t>
  </si>
  <si>
    <t>BIGGS 01 - MARINGA</t>
  </si>
  <si>
    <t>001 - BG01 - PDV 001</t>
  </si>
  <si>
    <t>07/10/2026</t>
  </si>
  <si>
    <t>77516</t>
  </si>
  <si>
    <t>22:17:22</t>
  </si>
  <si>
    <t>WILLIAM TIAGO MORAES DIAS</t>
  </si>
  <si>
    <t>450084</t>
  </si>
  <si>
    <t>UNIVERSIDADE ESTADUAL DE LONDRINA</t>
  </si>
  <si>
    <t>UEL</t>
  </si>
  <si>
    <t>78.640.489/0001-53</t>
  </si>
  <si>
    <t>TRUFA DOIS AMORES</t>
  </si>
  <si>
    <t>26836</t>
  </si>
  <si>
    <t>ANA MARIA</t>
  </si>
  <si>
    <t>23.0156</t>
  </si>
  <si>
    <t>2</t>
  </si>
  <si>
    <t>TRUFA NINHO</t>
  </si>
  <si>
    <t>23.0157</t>
  </si>
  <si>
    <t>3</t>
  </si>
  <si>
    <t>TRUFA MARACUJA</t>
  </si>
  <si>
    <t>20.0759</t>
  </si>
  <si>
    <t>4</t>
  </si>
  <si>
    <t>SORVETE DE CREME COM CARAMELO</t>
  </si>
  <si>
    <t>316</t>
  </si>
  <si>
    <t>07/10/26 21:47:25</t>
  </si>
  <si>
    <t>58974</t>
  </si>
  <si>
    <t>GABRIEL DE CARVALHO RODRIGUES</t>
  </si>
  <si>
    <t>20.0028</t>
  </si>
  <si>
    <t>5</t>
  </si>
  <si>
    <t>COCA COLA 350ML</t>
  </si>
  <si>
    <t>07/10/26 20:39:44</t>
  </si>
  <si>
    <t>20.0712</t>
  </si>
  <si>
    <t>6</t>
  </si>
  <si>
    <t>PF CONTRA-FILE BRAZUCA</t>
  </si>
  <si>
    <t>07/10/26 20:38:45</t>
  </si>
  <si>
    <t>20.0644</t>
  </si>
  <si>
    <t>7</t>
  </si>
  <si>
    <t>FEIJAO CORTESIA - BG</t>
  </si>
  <si>
    <t>20.1324</t>
  </si>
  <si>
    <t>8</t>
  </si>
  <si>
    <t>SALADA MIX CORTESIA NOTURNO</t>
  </si>
  <si>
    <t>9</t>
  </si>
  <si>
    <t>247</t>
  </si>
  <si>
    <t>07/10/26 21:39:45</t>
  </si>
  <si>
    <t>20.0006</t>
  </si>
  <si>
    <t>10</t>
  </si>
  <si>
    <t>AMSTEL LATA 350ML</t>
  </si>
  <si>
    <t>07/10/26 20:39:20</t>
  </si>
  <si>
    <t>20.0728</t>
  </si>
  <si>
    <t>11</t>
  </si>
  <si>
    <t>PF LIGHT MIGNON</t>
  </si>
  <si>
    <t>07/10/26 20:38:19</t>
  </si>
  <si>
    <t>20.0012</t>
  </si>
  <si>
    <t>12</t>
  </si>
  <si>
    <t>HEINEKEN LATA 350ML</t>
  </si>
  <si>
    <t>209</t>
  </si>
  <si>
    <t>07/10/26 20:39:28</t>
  </si>
  <si>
    <t>20.0711</t>
  </si>
  <si>
    <t>13</t>
  </si>
  <si>
    <t>PF CHURRASCO</t>
  </si>
  <si>
    <t>07/10/26 20:36:40</t>
  </si>
  <si>
    <t>14</t>
  </si>
  <si>
    <t>15</t>
  </si>
  <si>
    <t>20.0084</t>
  </si>
  <si>
    <t>12/10/2026</t>
  </si>
  <si>
    <t>78829</t>
  </si>
  <si>
    <t>23:22:23</t>
  </si>
  <si>
    <t>26426</t>
  </si>
  <si>
    <t>LUIZ - tel</t>
  </si>
  <si>
    <t>MONSTER TRIPLO</t>
  </si>
  <si>
    <t>58051</t>
  </si>
  <si>
    <t>LORRAINE ALVES DANIEL</t>
  </si>
  <si>
    <t>23.0059</t>
  </si>
  <si>
    <t>13/10/2026</t>
  </si>
  <si>
    <t>78980</t>
  </si>
  <si>
    <t>16:44:16</t>
  </si>
  <si>
    <t>ALEXANDRE JOSE MARTINS</t>
  </si>
  <si>
    <t>BIS XTRA AO LEITE</t>
  </si>
  <si>
    <t>32715</t>
  </si>
  <si>
    <t>LUIZ PEREIRA NETO</t>
  </si>
  <si>
    <t>129</t>
  </si>
  <si>
    <t>13/10/26 15:48:46</t>
  </si>
  <si>
    <t>29522</t>
  </si>
  <si>
    <t>ANA PAULA SOUZA DOS SANTOS</t>
  </si>
  <si>
    <t>20.1323</t>
  </si>
  <si>
    <t>SALADA MIX CORTESIA DIURNO</t>
  </si>
  <si>
    <t>13/10/26 15:46:19</t>
  </si>
  <si>
    <t>20.0029</t>
  </si>
  <si>
    <t>COCA COLA 600ML</t>
  </si>
  <si>
    <t>20.0626</t>
  </si>
  <si>
    <t>PORCAO CONTRA-FILE COM FRITAS</t>
  </si>
  <si>
    <t>20.0290</t>
  </si>
  <si>
    <t>BIGGS 02 - SANTOS DUMONT</t>
  </si>
  <si>
    <t>001 - BG02 - PDV 001</t>
  </si>
  <si>
    <t>36588</t>
  </si>
  <si>
    <t>14:33:14</t>
  </si>
  <si>
    <t>OMAR FELIPE ALVES</t>
  </si>
  <si>
    <t>DOG MILHO BATATA PALHA SIMPLES</t>
  </si>
  <si>
    <t>54242</t>
  </si>
  <si>
    <t>LUCILENE SILVA MARCONDES</t>
  </si>
  <si>
    <t>20.0797</t>
  </si>
  <si>
    <t>DOG QUEIJO DUPLO - PROMO SEG/SAB</t>
  </si>
  <si>
    <t>@BG - PDD DOGS - SEG/SAB - 10H~23H59</t>
  </si>
  <si>
    <t>20.0298</t>
  </si>
  <si>
    <t>002 - BG02 - PDV 002</t>
  </si>
  <si>
    <t>76702</t>
  </si>
  <si>
    <t>00:44:00</t>
  </si>
  <si>
    <t>DOG ESPECIAL</t>
  </si>
  <si>
    <t>44342</t>
  </si>
  <si>
    <t>BIGGS 02 - FREE 01</t>
  </si>
  <si>
    <t>76512</t>
  </si>
  <si>
    <t>15:06:15</t>
  </si>
  <si>
    <t>18095</t>
  </si>
  <si>
    <t>CLAUDECIR PEREIRA DE LIMA</t>
  </si>
  <si>
    <t>CLAUDECIR</t>
  </si>
  <si>
    <t>023.950.254-02</t>
  </si>
  <si>
    <t>20.0246</t>
  </si>
  <si>
    <t>CHEESE BURGER BACON</t>
  </si>
  <si>
    <t>20.0013</t>
  </si>
  <si>
    <t>09/10/2026</t>
  </si>
  <si>
    <t>76803</t>
  </si>
  <si>
    <t>17:34:17</t>
  </si>
  <si>
    <t>Heineken Longneck</t>
  </si>
  <si>
    <t>20.0281</t>
  </si>
  <si>
    <t>DOG EGG CALABRESA DUPLO</t>
  </si>
  <si>
    <t>20.0688</t>
  </si>
  <si>
    <t>PANQUECA FRANGO CATUPIRY</t>
  </si>
  <si>
    <t>23.0065</t>
  </si>
  <si>
    <t>21/10/2026</t>
  </si>
  <si>
    <t>79090</t>
  </si>
  <si>
    <t>15:16:15</t>
  </si>
  <si>
    <t>6801</t>
  </si>
  <si>
    <t>GECIONIL PALMA</t>
  </si>
  <si>
    <t>GECIONIL</t>
  </si>
  <si>
    <t>443.018.989-72</t>
  </si>
  <si>
    <t>BOMBOM OURO BRANCO</t>
  </si>
  <si>
    <t>20.0687</t>
  </si>
  <si>
    <t>PANQUECA FRANGO</t>
  </si>
  <si>
    <t>20.0645</t>
  </si>
  <si>
    <t>ARROZ BRANCO CORTESIA</t>
  </si>
  <si>
    <t>20.1489</t>
  </si>
  <si>
    <t>AD BATATA PALHA PANQUECAS</t>
  </si>
  <si>
    <t>20.1046</t>
  </si>
  <si>
    <t>003 - BG02 - PDV 003</t>
  </si>
  <si>
    <t>16/10/2026</t>
  </si>
  <si>
    <t>47829</t>
  </si>
  <si>
    <t>19:01:19</t>
  </si>
  <si>
    <t>VANESSA PERALTA ALBONETTI</t>
  </si>
  <si>
    <t>SALADA MIX CORTESIA - BG</t>
  </si>
  <si>
    <t>39392</t>
  </si>
  <si>
    <t>DAIANE NUNES DA SILVA</t>
  </si>
  <si>
    <t>23.0253</t>
  </si>
  <si>
    <t>FUNC SALADA GRILL DE FRANGO</t>
  </si>
  <si>
    <t>BIGGS 03 - GOIAS</t>
  </si>
  <si>
    <t>002 - BG03 - PDV 002</t>
  </si>
  <si>
    <t>15/10/2026</t>
  </si>
  <si>
    <t>41596</t>
  </si>
  <si>
    <t>22:45:22</t>
  </si>
  <si>
    <t>GABRIEL AUGUSTO DOS SANTOS</t>
  </si>
  <si>
    <t>46518</t>
  </si>
  <si>
    <t>21.0171</t>
  </si>
  <si>
    <t>ISAIAS 02 - ALPHAVILLE</t>
  </si>
  <si>
    <t>001 - IS02 - PDV 01</t>
  </si>
  <si>
    <t>22/10/2026</t>
  </si>
  <si>
    <t>43612</t>
  </si>
  <si>
    <t>19:46:19</t>
  </si>
  <si>
    <t>JOCELENE JAVARA</t>
  </si>
  <si>
    <t>TEMAKI SALMAO GRELHADO</t>
  </si>
  <si>
    <t>21</t>
  </si>
  <si>
    <t>22/10/26 19:00:11</t>
  </si>
  <si>
    <t>49787</t>
  </si>
  <si>
    <t>LUCIANO TEIXEIRA PEREIRA</t>
  </si>
  <si>
    <t>21.0053</t>
  </si>
  <si>
    <t>BACON CLASSICO</t>
  </si>
  <si>
    <t>22/10/26 18:56:31</t>
  </si>
  <si>
    <t>21.0054</t>
  </si>
  <si>
    <t>EGG BACON</t>
  </si>
  <si>
    <t>21.0600</t>
  </si>
  <si>
    <t>TAXA DE SERVICO - IS</t>
  </si>
  <si>
    <t>29516</t>
  </si>
  <si>
    <t>PAULO CESAR BIANCHI</t>
  </si>
  <si>
    <t>BIGGS 07 - JAMIL E ACAI</t>
  </si>
  <si>
    <t>001 - BG07 - PDV 01</t>
  </si>
  <si>
    <t>41853</t>
  </si>
  <si>
    <t>09:56:09</t>
  </si>
  <si>
    <t>20.0774</t>
  </si>
  <si>
    <t>002 - BG07 - PDV 02</t>
  </si>
  <si>
    <t>02/10/2026</t>
  </si>
  <si>
    <t>95605</t>
  </si>
  <si>
    <t>17:04:17</t>
  </si>
  <si>
    <t>IGOR MORAES</t>
  </si>
  <si>
    <t>490234</t>
  </si>
  <si>
    <t>RICARDO</t>
  </si>
  <si>
    <t>MARMITA CASA MEDIA</t>
  </si>
  <si>
    <t>48516</t>
  </si>
  <si>
    <t>JESSICA QUEVEDO BORGES</t>
  </si>
  <si>
    <t>23.0252</t>
  </si>
  <si>
    <t>002 - BG04 - PDV02</t>
  </si>
  <si>
    <t>86581</t>
  </si>
  <si>
    <t>21:39:21</t>
  </si>
  <si>
    <t>MAURO JOSE DE SOUZA</t>
  </si>
  <si>
    <t>FUNC PF CARNE MOIDA</t>
  </si>
  <si>
    <t>33704</t>
  </si>
  <si>
    <t>20.0295</t>
  </si>
  <si>
    <t>003 - BG04 - PDV03</t>
  </si>
  <si>
    <t>103516</t>
  </si>
  <si>
    <t>00:09:00</t>
  </si>
  <si>
    <t>429866</t>
  </si>
  <si>
    <t>Gabriel - TEL</t>
  </si>
  <si>
    <t>DOG QUEIJO DUPLO</t>
  </si>
  <si>
    <t>45686</t>
  </si>
  <si>
    <t>BIGGS 04 - FREE 01</t>
  </si>
  <si>
    <t>BIGGS 13 - ARTHUR THOMAS</t>
  </si>
  <si>
    <t>003 - BG13 - PDV 003 DELIVERY</t>
  </si>
  <si>
    <t>25/10/2026</t>
  </si>
  <si>
    <t>12720</t>
  </si>
  <si>
    <t>23:14:23</t>
  </si>
  <si>
    <t>FRANCISCO ELIEZIO ARAUJO DAVID</t>
  </si>
  <si>
    <t>41563</t>
  </si>
  <si>
    <t>GABRIELLE GONALVES DA SILVA</t>
  </si>
  <si>
    <t>20.0370</t>
  </si>
  <si>
    <t>PASTEL QUEIJO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</si>
</sst>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 - #,##0.00;"/>
  </numFmts>
  <fonts count="3" x14ac:knownFonts="1">
    <font>
      <color theme="1"/>
      <family val="2"/>
      <scheme val="minor"/>
      <sz val="11"/>
      <name val="Calibri"/>
    </font>
    <font>
      <color rgb="FFFFFFFF"/>
      <sz val="13"/>
    </font>
    <font>
      <color rgb="FF181A19"/>
      <sz val="11"/>
    </font>
  </fonts>
  <fills count="3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"/>
  <sheetFormatPr defaultRowHeight="15" outlineLevelRow="0" outlineLevelCol="0" x14ac:dyDescent="55"/>
  <cols>
    <col min="1" max="1" width="11" customWidth="1"/>
    <col min="2" max="2" width="31" customWidth="1"/>
    <col min="3" max="3" width="37" customWidth="1"/>
    <col min="4" max="4" width="13" customWidth="1"/>
    <col min="5" max="5" width="7" customWidth="1"/>
    <col min="6" max="6" width="10" customWidth="1"/>
    <col min="7" max="7" width="12" customWidth="1"/>
    <col min="8" max="8" width="42" customWidth="1"/>
    <col min="9" max="9" width="22" customWidth="1"/>
    <col min="10" max="10" width="42" customWidth="1"/>
    <col min="11" max="11" width="16" customWidth="1"/>
    <col min="12" max="12" width="23" customWidth="1"/>
    <col min="13" max="13" width="5" customWidth="1"/>
    <col min="14" max="14" width="41" customWidth="1"/>
    <col min="15" max="15" width="10" customWidth="1"/>
    <col min="16" max="16" width="6" customWidth="1"/>
    <col min="17" max="17" width="16" customWidth="1"/>
    <col min="18" max="18" width="10" customWidth="1"/>
    <col min="19" max="19" width="20" customWidth="1"/>
    <col min="20" max="20" width="35" customWidth="1"/>
    <col min="21" max="21" width="16" customWidth="1"/>
    <col min="22" max="22" width="42" customWidth="1"/>
    <col min="23" max="23" width="46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6</v>
      </c>
      <c r="S1" s="3" t="s">
        <v>17</v>
      </c>
      <c r="T1" s="2" t="s">
        <v>18</v>
      </c>
      <c r="U1" s="3" t="s">
        <v>19</v>
      </c>
      <c r="V1" s="1" t="s">
        <v>20</v>
      </c>
      <c r="W1" s="1" t="s">
        <v>21</v>
      </c>
    </row>
    <row r="2" spans="1:22" x14ac:dyDescent="0.25">
      <c r="A2" s="4" t="s">
        <v>22</v>
      </c>
      <c r="B2" s="4" t="s">
        <v>23</v>
      </c>
      <c r="C2" s="4" t="s">
        <v>24</v>
      </c>
      <c r="D2" s="5" t="s">
        <v>25</v>
      </c>
      <c r="E2" s="6" t="s">
        <v>26</v>
      </c>
      <c r="F2" s="4" t="s">
        <v>27</v>
      </c>
      <c r="G2" s="7">
        <v>2.89</v>
      </c>
      <c r="H2" s="4" t="s">
        <v>28</v>
      </c>
      <c r="M2" s="6" t="s">
        <v>29</v>
      </c>
      <c r="N2" s="4" t="s">
        <v>30</v>
      </c>
      <c r="O2" s="7">
        <v>2.89</v>
      </c>
      <c r="P2" s="6">
        <v>1</v>
      </c>
      <c r="Q2" s="8">
        <v>0</v>
      </c>
      <c r="R2" s="7">
        <v>2.89</v>
      </c>
      <c r="U2" s="6" t="s">
        <v>31</v>
      </c>
      <c r="V2" s="4" t="s">
        <v>28</v>
      </c>
    </row>
    <row r="3" spans="1:22" x14ac:dyDescent="0.25">
      <c r="A3" s="4" t="s">
        <v>32</v>
      </c>
      <c r="B3" s="4" t="s">
        <v>33</v>
      </c>
      <c r="C3" s="4" t="s">
        <v>34</v>
      </c>
      <c r="D3" s="5" t="s">
        <v>35</v>
      </c>
      <c r="E3" s="6" t="s">
        <v>36</v>
      </c>
      <c r="F3" s="4" t="s">
        <v>37</v>
      </c>
      <c r="G3" s="7">
        <v>206.69</v>
      </c>
      <c r="H3" s="4" t="s">
        <v>38</v>
      </c>
      <c r="I3" s="6" t="s">
        <v>39</v>
      </c>
      <c r="J3" s="4" t="s">
        <v>40</v>
      </c>
      <c r="K3" s="4" t="s">
        <v>41</v>
      </c>
      <c r="L3" s="4" t="s">
        <v>42</v>
      </c>
      <c r="M3" s="6" t="s">
        <v>29</v>
      </c>
      <c r="N3" s="4" t="s">
        <v>43</v>
      </c>
      <c r="O3" s="7">
        <v>6</v>
      </c>
      <c r="P3" s="6">
        <v>1</v>
      </c>
      <c r="Q3" s="8">
        <v>0</v>
      </c>
      <c r="R3" s="7">
        <v>6</v>
      </c>
      <c r="U3" s="6" t="s">
        <v>44</v>
      </c>
      <c r="V3" s="4" t="s">
        <v>45</v>
      </c>
    </row>
    <row r="4" spans="1:22" x14ac:dyDescent="0.25">
      <c r="A4" s="4" t="s">
        <v>46</v>
      </c>
      <c r="B4" s="4" t="s">
        <v>33</v>
      </c>
      <c r="C4" s="4" t="s">
        <v>34</v>
      </c>
      <c r="D4" s="5" t="s">
        <v>35</v>
      </c>
      <c r="E4" s="6" t="s">
        <v>36</v>
      </c>
      <c r="F4" s="4" t="s">
        <v>37</v>
      </c>
      <c r="G4" s="7">
        <v>206.69</v>
      </c>
      <c r="H4" s="4" t="s">
        <v>38</v>
      </c>
      <c r="I4" s="6" t="s">
        <v>39</v>
      </c>
      <c r="J4" s="4" t="s">
        <v>40</v>
      </c>
      <c r="K4" s="4" t="s">
        <v>41</v>
      </c>
      <c r="L4" s="4" t="s">
        <v>42</v>
      </c>
      <c r="M4" s="6" t="s">
        <v>47</v>
      </c>
      <c r="N4" s="4" t="s">
        <v>48</v>
      </c>
      <c r="O4" s="7">
        <v>6</v>
      </c>
      <c r="P4" s="6">
        <v>1</v>
      </c>
      <c r="Q4" s="8">
        <v>0</v>
      </c>
      <c r="R4" s="7">
        <v>6</v>
      </c>
      <c r="U4" s="6" t="s">
        <v>44</v>
      </c>
      <c r="V4" s="4" t="s">
        <v>45</v>
      </c>
    </row>
    <row r="5" spans="1:22" x14ac:dyDescent="0.25">
      <c r="A5" s="4" t="s">
        <v>49</v>
      </c>
      <c r="B5" s="4" t="s">
        <v>33</v>
      </c>
      <c r="C5" s="4" t="s">
        <v>34</v>
      </c>
      <c r="D5" s="5" t="s">
        <v>35</v>
      </c>
      <c r="E5" s="6" t="s">
        <v>36</v>
      </c>
      <c r="F5" s="4" t="s">
        <v>37</v>
      </c>
      <c r="G5" s="7">
        <v>206.69</v>
      </c>
      <c r="H5" s="4" t="s">
        <v>38</v>
      </c>
      <c r="I5" s="6" t="s">
        <v>39</v>
      </c>
      <c r="J5" s="4" t="s">
        <v>40</v>
      </c>
      <c r="K5" s="4" t="s">
        <v>41</v>
      </c>
      <c r="L5" s="4" t="s">
        <v>42</v>
      </c>
      <c r="M5" s="6" t="s">
        <v>50</v>
      </c>
      <c r="N5" s="4" t="s">
        <v>51</v>
      </c>
      <c r="O5" s="7">
        <v>6</v>
      </c>
      <c r="P5" s="6">
        <v>1</v>
      </c>
      <c r="Q5" s="8">
        <v>0</v>
      </c>
      <c r="R5" s="7">
        <v>6</v>
      </c>
      <c r="U5" s="6" t="s">
        <v>44</v>
      </c>
      <c r="V5" s="4" t="s">
        <v>45</v>
      </c>
    </row>
    <row r="6" spans="1:22" x14ac:dyDescent="0.25">
      <c r="A6" s="4" t="s">
        <v>52</v>
      </c>
      <c r="B6" s="4" t="s">
        <v>33</v>
      </c>
      <c r="C6" s="4" t="s">
        <v>34</v>
      </c>
      <c r="D6" s="5" t="s">
        <v>35</v>
      </c>
      <c r="E6" s="6" t="s">
        <v>36</v>
      </c>
      <c r="F6" s="4" t="s">
        <v>37</v>
      </c>
      <c r="G6" s="7">
        <v>206.69</v>
      </c>
      <c r="H6" s="4" t="s">
        <v>38</v>
      </c>
      <c r="I6" s="6" t="s">
        <v>39</v>
      </c>
      <c r="J6" s="4" t="s">
        <v>40</v>
      </c>
      <c r="K6" s="4" t="s">
        <v>41</v>
      </c>
      <c r="L6" s="4" t="s">
        <v>42</v>
      </c>
      <c r="M6" s="6" t="s">
        <v>53</v>
      </c>
      <c r="N6" s="4" t="s">
        <v>54</v>
      </c>
      <c r="O6" s="7">
        <v>14.5</v>
      </c>
      <c r="P6" s="6">
        <v>1</v>
      </c>
      <c r="Q6" s="8">
        <v>0</v>
      </c>
      <c r="R6" s="7">
        <v>14.5</v>
      </c>
      <c r="S6" s="6" t="s">
        <v>55</v>
      </c>
      <c r="T6" s="5" t="s">
        <v>56</v>
      </c>
      <c r="U6" s="6" t="s">
        <v>57</v>
      </c>
      <c r="V6" s="4" t="s">
        <v>58</v>
      </c>
    </row>
    <row r="7" spans="1:22" x14ac:dyDescent="0.25">
      <c r="A7" s="4" t="s">
        <v>59</v>
      </c>
      <c r="B7" s="4" t="s">
        <v>33</v>
      </c>
      <c r="C7" s="4" t="s">
        <v>34</v>
      </c>
      <c r="D7" s="5" t="s">
        <v>35</v>
      </c>
      <c r="E7" s="6" t="s">
        <v>36</v>
      </c>
      <c r="F7" s="4" t="s">
        <v>37</v>
      </c>
      <c r="G7" s="7">
        <v>206.69</v>
      </c>
      <c r="H7" s="4" t="s">
        <v>38</v>
      </c>
      <c r="I7" s="6" t="s">
        <v>39</v>
      </c>
      <c r="J7" s="4" t="s">
        <v>40</v>
      </c>
      <c r="K7" s="4" t="s">
        <v>41</v>
      </c>
      <c r="L7" s="4" t="s">
        <v>42</v>
      </c>
      <c r="M7" s="6" t="s">
        <v>60</v>
      </c>
      <c r="N7" s="4" t="s">
        <v>61</v>
      </c>
      <c r="O7" s="7">
        <v>7.9</v>
      </c>
      <c r="P7" s="6">
        <v>1</v>
      </c>
      <c r="Q7" s="8">
        <v>0</v>
      </c>
      <c r="R7" s="7">
        <v>7.9</v>
      </c>
      <c r="S7" s="6" t="s">
        <v>55</v>
      </c>
      <c r="T7" s="5" t="s">
        <v>62</v>
      </c>
      <c r="U7" s="6" t="s">
        <v>57</v>
      </c>
      <c r="V7" s="4" t="s">
        <v>58</v>
      </c>
    </row>
    <row r="8" spans="1:22" x14ac:dyDescent="0.25">
      <c r="A8" s="4" t="s">
        <v>63</v>
      </c>
      <c r="B8" s="4" t="s">
        <v>33</v>
      </c>
      <c r="C8" s="4" t="s">
        <v>34</v>
      </c>
      <c r="D8" s="5" t="s">
        <v>35</v>
      </c>
      <c r="E8" s="6" t="s">
        <v>36</v>
      </c>
      <c r="F8" s="4" t="s">
        <v>37</v>
      </c>
      <c r="G8" s="7">
        <v>206.69</v>
      </c>
      <c r="H8" s="4" t="s">
        <v>38</v>
      </c>
      <c r="I8" s="6" t="s">
        <v>39</v>
      </c>
      <c r="J8" s="4" t="s">
        <v>40</v>
      </c>
      <c r="K8" s="4" t="s">
        <v>41</v>
      </c>
      <c r="L8" s="4" t="s">
        <v>42</v>
      </c>
      <c r="M8" s="6" t="s">
        <v>64</v>
      </c>
      <c r="N8" s="4" t="s">
        <v>65</v>
      </c>
      <c r="O8" s="7">
        <v>47.5</v>
      </c>
      <c r="P8" s="6">
        <v>1</v>
      </c>
      <c r="Q8" s="8">
        <v>0</v>
      </c>
      <c r="R8" s="7">
        <v>47.5</v>
      </c>
      <c r="S8" s="6" t="s">
        <v>55</v>
      </c>
      <c r="T8" s="5" t="s">
        <v>66</v>
      </c>
      <c r="U8" s="6" t="s">
        <v>57</v>
      </c>
      <c r="V8" s="4" t="s">
        <v>58</v>
      </c>
    </row>
    <row r="9" spans="1:22" x14ac:dyDescent="0.25">
      <c r="A9" s="4" t="s">
        <v>67</v>
      </c>
      <c r="B9" s="4" t="s">
        <v>33</v>
      </c>
      <c r="C9" s="4" t="s">
        <v>34</v>
      </c>
      <c r="D9" s="5" t="s">
        <v>35</v>
      </c>
      <c r="E9" s="6" t="s">
        <v>36</v>
      </c>
      <c r="F9" s="4" t="s">
        <v>37</v>
      </c>
      <c r="G9" s="7">
        <v>206.69</v>
      </c>
      <c r="H9" s="4" t="s">
        <v>38</v>
      </c>
      <c r="I9" s="6" t="s">
        <v>39</v>
      </c>
      <c r="J9" s="4" t="s">
        <v>40</v>
      </c>
      <c r="K9" s="4" t="s">
        <v>41</v>
      </c>
      <c r="L9" s="4" t="s">
        <v>42</v>
      </c>
      <c r="M9" s="6" t="s">
        <v>68</v>
      </c>
      <c r="N9" s="4" t="s">
        <v>69</v>
      </c>
      <c r="O9" s="8">
        <v>0</v>
      </c>
      <c r="P9" s="6">
        <v>1</v>
      </c>
      <c r="Q9" s="8">
        <v>0</v>
      </c>
      <c r="R9" s="8">
        <v>0</v>
      </c>
      <c r="U9" s="6" t="s">
        <v>57</v>
      </c>
      <c r="V9" s="4" t="s">
        <v>58</v>
      </c>
    </row>
    <row r="10" spans="1:22" x14ac:dyDescent="0.25">
      <c r="A10" s="4" t="s">
        <v>70</v>
      </c>
      <c r="B10" s="4" t="s">
        <v>33</v>
      </c>
      <c r="C10" s="4" t="s">
        <v>34</v>
      </c>
      <c r="D10" s="5" t="s">
        <v>35</v>
      </c>
      <c r="E10" s="6" t="s">
        <v>36</v>
      </c>
      <c r="F10" s="4" t="s">
        <v>37</v>
      </c>
      <c r="G10" s="7">
        <v>206.69</v>
      </c>
      <c r="H10" s="4" t="s">
        <v>38</v>
      </c>
      <c r="I10" s="6" t="s">
        <v>39</v>
      </c>
      <c r="J10" s="4" t="s">
        <v>40</v>
      </c>
      <c r="K10" s="4" t="s">
        <v>41</v>
      </c>
      <c r="L10" s="4" t="s">
        <v>42</v>
      </c>
      <c r="M10" s="6" t="s">
        <v>71</v>
      </c>
      <c r="N10" s="4" t="s">
        <v>72</v>
      </c>
      <c r="O10" s="8">
        <v>0</v>
      </c>
      <c r="P10" s="6">
        <v>1</v>
      </c>
      <c r="Q10" s="8">
        <v>0</v>
      </c>
      <c r="R10" s="8">
        <v>0</v>
      </c>
      <c r="U10" s="6" t="s">
        <v>57</v>
      </c>
      <c r="V10" s="4" t="s">
        <v>58</v>
      </c>
    </row>
    <row r="11" spans="1:22" x14ac:dyDescent="0.25">
      <c r="A11" s="4" t="s">
        <v>52</v>
      </c>
      <c r="B11" s="4" t="s">
        <v>33</v>
      </c>
      <c r="C11" s="4" t="s">
        <v>34</v>
      </c>
      <c r="D11" s="5" t="s">
        <v>35</v>
      </c>
      <c r="E11" s="6" t="s">
        <v>36</v>
      </c>
      <c r="F11" s="4" t="s">
        <v>37</v>
      </c>
      <c r="G11" s="7">
        <v>206.69</v>
      </c>
      <c r="H11" s="4" t="s">
        <v>38</v>
      </c>
      <c r="I11" s="6" t="s">
        <v>39</v>
      </c>
      <c r="J11" s="4" t="s">
        <v>40</v>
      </c>
      <c r="K11" s="4" t="s">
        <v>41</v>
      </c>
      <c r="L11" s="4" t="s">
        <v>42</v>
      </c>
      <c r="M11" s="6" t="s">
        <v>73</v>
      </c>
      <c r="N11" s="4" t="s">
        <v>54</v>
      </c>
      <c r="O11" s="7">
        <v>14.5</v>
      </c>
      <c r="P11" s="6">
        <v>1</v>
      </c>
      <c r="Q11" s="8">
        <v>0</v>
      </c>
      <c r="R11" s="7">
        <v>14.5</v>
      </c>
      <c r="S11" s="6" t="s">
        <v>74</v>
      </c>
      <c r="T11" s="5" t="s">
        <v>75</v>
      </c>
      <c r="U11" s="6" t="s">
        <v>57</v>
      </c>
      <c r="V11" s="4" t="s">
        <v>58</v>
      </c>
    </row>
    <row r="12" spans="1:22" x14ac:dyDescent="0.25">
      <c r="A12" s="4" t="s">
        <v>76</v>
      </c>
      <c r="B12" s="4" t="s">
        <v>33</v>
      </c>
      <c r="C12" s="4" t="s">
        <v>34</v>
      </c>
      <c r="D12" s="5" t="s">
        <v>35</v>
      </c>
      <c r="E12" s="6" t="s">
        <v>36</v>
      </c>
      <c r="F12" s="4" t="s">
        <v>37</v>
      </c>
      <c r="G12" s="7">
        <v>206.69</v>
      </c>
      <c r="H12" s="4" t="s">
        <v>38</v>
      </c>
      <c r="I12" s="6" t="s">
        <v>39</v>
      </c>
      <c r="J12" s="4" t="s">
        <v>40</v>
      </c>
      <c r="K12" s="4" t="s">
        <v>41</v>
      </c>
      <c r="L12" s="4" t="s">
        <v>42</v>
      </c>
      <c r="M12" s="6" t="s">
        <v>77</v>
      </c>
      <c r="N12" s="4" t="s">
        <v>78</v>
      </c>
      <c r="O12" s="7">
        <v>6.9</v>
      </c>
      <c r="P12" s="6">
        <v>1</v>
      </c>
      <c r="Q12" s="8">
        <v>0</v>
      </c>
      <c r="R12" s="7">
        <v>6.9</v>
      </c>
      <c r="S12" s="6" t="s">
        <v>74</v>
      </c>
      <c r="T12" s="5" t="s">
        <v>79</v>
      </c>
      <c r="U12" s="6" t="s">
        <v>57</v>
      </c>
      <c r="V12" s="4" t="s">
        <v>58</v>
      </c>
    </row>
    <row r="13" spans="1:22" x14ac:dyDescent="0.25">
      <c r="A13" s="4" t="s">
        <v>80</v>
      </c>
      <c r="B13" s="4" t="s">
        <v>33</v>
      </c>
      <c r="C13" s="4" t="s">
        <v>34</v>
      </c>
      <c r="D13" s="5" t="s">
        <v>35</v>
      </c>
      <c r="E13" s="6" t="s">
        <v>36</v>
      </c>
      <c r="F13" s="4" t="s">
        <v>37</v>
      </c>
      <c r="G13" s="7">
        <v>206.69</v>
      </c>
      <c r="H13" s="4" t="s">
        <v>38</v>
      </c>
      <c r="I13" s="6" t="s">
        <v>39</v>
      </c>
      <c r="J13" s="4" t="s">
        <v>40</v>
      </c>
      <c r="K13" s="4" t="s">
        <v>41</v>
      </c>
      <c r="L13" s="4" t="s">
        <v>42</v>
      </c>
      <c r="M13" s="6" t="s">
        <v>81</v>
      </c>
      <c r="N13" s="4" t="s">
        <v>82</v>
      </c>
      <c r="O13" s="7">
        <v>47.5</v>
      </c>
      <c r="P13" s="6">
        <v>1</v>
      </c>
      <c r="Q13" s="8">
        <v>0</v>
      </c>
      <c r="R13" s="7">
        <v>47.5</v>
      </c>
      <c r="S13" s="6" t="s">
        <v>74</v>
      </c>
      <c r="T13" s="5" t="s">
        <v>83</v>
      </c>
      <c r="U13" s="6" t="s">
        <v>57</v>
      </c>
      <c r="V13" s="4" t="s">
        <v>58</v>
      </c>
    </row>
    <row r="14" spans="1:22" x14ac:dyDescent="0.25">
      <c r="A14" s="4" t="s">
        <v>84</v>
      </c>
      <c r="B14" s="4" t="s">
        <v>33</v>
      </c>
      <c r="C14" s="4" t="s">
        <v>34</v>
      </c>
      <c r="D14" s="5" t="s">
        <v>35</v>
      </c>
      <c r="E14" s="6" t="s">
        <v>36</v>
      </c>
      <c r="F14" s="4" t="s">
        <v>37</v>
      </c>
      <c r="G14" s="7">
        <v>206.69</v>
      </c>
      <c r="H14" s="4" t="s">
        <v>38</v>
      </c>
      <c r="I14" s="6" t="s">
        <v>39</v>
      </c>
      <c r="J14" s="4" t="s">
        <v>40</v>
      </c>
      <c r="K14" s="4" t="s">
        <v>41</v>
      </c>
      <c r="L14" s="4" t="s">
        <v>42</v>
      </c>
      <c r="M14" s="6" t="s">
        <v>85</v>
      </c>
      <c r="N14" s="4" t="s">
        <v>86</v>
      </c>
      <c r="O14" s="7">
        <v>9.9</v>
      </c>
      <c r="P14" s="6">
        <v>1</v>
      </c>
      <c r="Q14" s="8">
        <v>0</v>
      </c>
      <c r="R14" s="7">
        <v>9.9</v>
      </c>
      <c r="S14" s="6" t="s">
        <v>87</v>
      </c>
      <c r="T14" s="5" t="s">
        <v>88</v>
      </c>
      <c r="U14" s="6" t="s">
        <v>57</v>
      </c>
      <c r="V14" s="4" t="s">
        <v>58</v>
      </c>
    </row>
    <row r="15" spans="1:22" x14ac:dyDescent="0.25">
      <c r="A15" s="4" t="s">
        <v>89</v>
      </c>
      <c r="B15" s="4" t="s">
        <v>33</v>
      </c>
      <c r="C15" s="4" t="s">
        <v>34</v>
      </c>
      <c r="D15" s="5" t="s">
        <v>35</v>
      </c>
      <c r="E15" s="6" t="s">
        <v>36</v>
      </c>
      <c r="F15" s="4" t="s">
        <v>37</v>
      </c>
      <c r="G15" s="7">
        <v>206.69</v>
      </c>
      <c r="H15" s="4" t="s">
        <v>38</v>
      </c>
      <c r="I15" s="6" t="s">
        <v>39</v>
      </c>
      <c r="J15" s="4" t="s">
        <v>40</v>
      </c>
      <c r="K15" s="4" t="s">
        <v>41</v>
      </c>
      <c r="L15" s="4" t="s">
        <v>42</v>
      </c>
      <c r="M15" s="6" t="s">
        <v>90</v>
      </c>
      <c r="N15" s="4" t="s">
        <v>91</v>
      </c>
      <c r="O15" s="7">
        <v>39.99</v>
      </c>
      <c r="P15" s="6">
        <v>1</v>
      </c>
      <c r="Q15" s="8">
        <v>0</v>
      </c>
      <c r="R15" s="7">
        <v>39.99</v>
      </c>
      <c r="S15" s="6" t="s">
        <v>87</v>
      </c>
      <c r="T15" s="5" t="s">
        <v>92</v>
      </c>
      <c r="U15" s="6" t="s">
        <v>57</v>
      </c>
      <c r="V15" s="4" t="s">
        <v>58</v>
      </c>
    </row>
    <row r="16" spans="1:22" x14ac:dyDescent="0.25">
      <c r="A16" s="4" t="s">
        <v>70</v>
      </c>
      <c r="B16" s="4" t="s">
        <v>33</v>
      </c>
      <c r="C16" s="4" t="s">
        <v>34</v>
      </c>
      <c r="D16" s="5" t="s">
        <v>35</v>
      </c>
      <c r="E16" s="6" t="s">
        <v>36</v>
      </c>
      <c r="F16" s="4" t="s">
        <v>37</v>
      </c>
      <c r="G16" s="7">
        <v>206.69</v>
      </c>
      <c r="H16" s="4" t="s">
        <v>38</v>
      </c>
      <c r="I16" s="6" t="s">
        <v>39</v>
      </c>
      <c r="J16" s="4" t="s">
        <v>40</v>
      </c>
      <c r="K16" s="4" t="s">
        <v>41</v>
      </c>
      <c r="L16" s="4" t="s">
        <v>42</v>
      </c>
      <c r="M16" s="6" t="s">
        <v>93</v>
      </c>
      <c r="N16" s="4" t="s">
        <v>72</v>
      </c>
      <c r="O16" s="8">
        <v>0</v>
      </c>
      <c r="P16" s="6">
        <v>1</v>
      </c>
      <c r="Q16" s="8">
        <v>0</v>
      </c>
      <c r="R16" s="8">
        <v>0</v>
      </c>
      <c r="U16" s="6" t="s">
        <v>57</v>
      </c>
      <c r="V16" s="4" t="s">
        <v>58</v>
      </c>
    </row>
    <row r="17" spans="1:22" x14ac:dyDescent="0.25">
      <c r="A17" s="4" t="s">
        <v>67</v>
      </c>
      <c r="B17" s="4" t="s">
        <v>33</v>
      </c>
      <c r="C17" s="4" t="s">
        <v>34</v>
      </c>
      <c r="D17" s="5" t="s">
        <v>35</v>
      </c>
      <c r="E17" s="6" t="s">
        <v>36</v>
      </c>
      <c r="F17" s="4" t="s">
        <v>37</v>
      </c>
      <c r="G17" s="7">
        <v>206.69</v>
      </c>
      <c r="H17" s="4" t="s">
        <v>38</v>
      </c>
      <c r="I17" s="6" t="s">
        <v>39</v>
      </c>
      <c r="J17" s="4" t="s">
        <v>40</v>
      </c>
      <c r="K17" s="4" t="s">
        <v>41</v>
      </c>
      <c r="L17" s="4" t="s">
        <v>42</v>
      </c>
      <c r="M17" s="6" t="s">
        <v>94</v>
      </c>
      <c r="N17" s="4" t="s">
        <v>69</v>
      </c>
      <c r="O17" s="8">
        <v>0</v>
      </c>
      <c r="P17" s="6">
        <v>1</v>
      </c>
      <c r="Q17" s="8">
        <v>0</v>
      </c>
      <c r="R17" s="8">
        <v>0</v>
      </c>
      <c r="U17" s="6" t="s">
        <v>57</v>
      </c>
      <c r="V17" s="4" t="s">
        <v>58</v>
      </c>
    </row>
    <row r="18" spans="1:22" x14ac:dyDescent="0.25">
      <c r="A18" s="4" t="s">
        <v>95</v>
      </c>
      <c r="B18" s="4" t="s">
        <v>33</v>
      </c>
      <c r="C18" s="4" t="s">
        <v>34</v>
      </c>
      <c r="D18" s="5" t="s">
        <v>96</v>
      </c>
      <c r="E18" s="6" t="s">
        <v>97</v>
      </c>
      <c r="F18" s="4" t="s">
        <v>98</v>
      </c>
      <c r="G18" s="7">
        <v>44.9</v>
      </c>
      <c r="H18" s="4" t="s">
        <v>38</v>
      </c>
      <c r="I18" s="6" t="s">
        <v>99</v>
      </c>
      <c r="J18" s="4" t="s">
        <v>100</v>
      </c>
      <c r="M18" s="6" t="s">
        <v>29</v>
      </c>
      <c r="N18" s="4" t="s">
        <v>101</v>
      </c>
      <c r="O18" s="7">
        <v>44.9</v>
      </c>
      <c r="P18" s="6">
        <v>1</v>
      </c>
      <c r="Q18" s="8">
        <v>0</v>
      </c>
      <c r="R18" s="7">
        <v>44.9</v>
      </c>
      <c r="U18" s="6" t="s">
        <v>102</v>
      </c>
      <c r="V18" s="4" t="s">
        <v>103</v>
      </c>
    </row>
    <row r="19" spans="1:22" x14ac:dyDescent="0.25">
      <c r="A19" s="4" t="s">
        <v>104</v>
      </c>
      <c r="B19" s="4" t="s">
        <v>33</v>
      </c>
      <c r="C19" s="4" t="s">
        <v>34</v>
      </c>
      <c r="D19" s="5" t="s">
        <v>105</v>
      </c>
      <c r="E19" s="6" t="s">
        <v>106</v>
      </c>
      <c r="F19" s="4" t="s">
        <v>107</v>
      </c>
      <c r="G19" s="7">
        <v>150.69</v>
      </c>
      <c r="H19" s="4" t="s">
        <v>108</v>
      </c>
      <c r="M19" s="6" t="s">
        <v>29</v>
      </c>
      <c r="N19" s="4" t="s">
        <v>109</v>
      </c>
      <c r="O19" s="7">
        <v>6</v>
      </c>
      <c r="P19" s="6">
        <v>1</v>
      </c>
      <c r="Q19" s="8">
        <v>0</v>
      </c>
      <c r="R19" s="7">
        <v>6</v>
      </c>
      <c r="U19" s="6" t="s">
        <v>110</v>
      </c>
      <c r="V19" s="4" t="s">
        <v>111</v>
      </c>
    </row>
    <row r="20" spans="1:22" x14ac:dyDescent="0.25">
      <c r="A20" s="4" t="s">
        <v>89</v>
      </c>
      <c r="B20" s="4" t="s">
        <v>33</v>
      </c>
      <c r="C20" s="4" t="s">
        <v>34</v>
      </c>
      <c r="D20" s="5" t="s">
        <v>105</v>
      </c>
      <c r="E20" s="6" t="s">
        <v>106</v>
      </c>
      <c r="F20" s="4" t="s">
        <v>107</v>
      </c>
      <c r="G20" s="7">
        <v>150.69</v>
      </c>
      <c r="H20" s="4" t="s">
        <v>108</v>
      </c>
      <c r="M20" s="6" t="s">
        <v>47</v>
      </c>
      <c r="N20" s="4" t="s">
        <v>91</v>
      </c>
      <c r="O20" s="7">
        <v>39.99</v>
      </c>
      <c r="P20" s="6">
        <v>1</v>
      </c>
      <c r="Q20" s="8">
        <v>0</v>
      </c>
      <c r="R20" s="7">
        <v>39.99</v>
      </c>
      <c r="S20" s="6" t="s">
        <v>112</v>
      </c>
      <c r="T20" s="5" t="s">
        <v>113</v>
      </c>
      <c r="U20" s="6" t="s">
        <v>114</v>
      </c>
      <c r="V20" s="4" t="s">
        <v>115</v>
      </c>
    </row>
    <row r="21" spans="1:22" x14ac:dyDescent="0.25">
      <c r="A21" s="4" t="s">
        <v>67</v>
      </c>
      <c r="B21" s="4" t="s">
        <v>33</v>
      </c>
      <c r="C21" s="4" t="s">
        <v>34</v>
      </c>
      <c r="D21" s="5" t="s">
        <v>105</v>
      </c>
      <c r="E21" s="6" t="s">
        <v>106</v>
      </c>
      <c r="F21" s="4" t="s">
        <v>107</v>
      </c>
      <c r="G21" s="7">
        <v>150.69</v>
      </c>
      <c r="H21" s="4" t="s">
        <v>108</v>
      </c>
      <c r="M21" s="6" t="s">
        <v>50</v>
      </c>
      <c r="N21" s="4" t="s">
        <v>69</v>
      </c>
      <c r="O21" s="8">
        <v>0</v>
      </c>
      <c r="P21" s="6">
        <v>1</v>
      </c>
      <c r="Q21" s="8">
        <v>0</v>
      </c>
      <c r="R21" s="8">
        <v>0</v>
      </c>
      <c r="U21" s="6" t="s">
        <v>114</v>
      </c>
      <c r="V21" s="4" t="s">
        <v>115</v>
      </c>
    </row>
    <row r="22" spans="1:22" x14ac:dyDescent="0.25">
      <c r="A22" s="4" t="s">
        <v>116</v>
      </c>
      <c r="B22" s="4" t="s">
        <v>33</v>
      </c>
      <c r="C22" s="4" t="s">
        <v>34</v>
      </c>
      <c r="D22" s="5" t="s">
        <v>105</v>
      </c>
      <c r="E22" s="6" t="s">
        <v>106</v>
      </c>
      <c r="F22" s="4" t="s">
        <v>107</v>
      </c>
      <c r="G22" s="7">
        <v>150.69</v>
      </c>
      <c r="H22" s="4" t="s">
        <v>108</v>
      </c>
      <c r="M22" s="6" t="s">
        <v>53</v>
      </c>
      <c r="N22" s="4" t="s">
        <v>117</v>
      </c>
      <c r="O22" s="8">
        <v>0</v>
      </c>
      <c r="P22" s="6">
        <v>1</v>
      </c>
      <c r="Q22" s="8">
        <v>0</v>
      </c>
      <c r="R22" s="8">
        <v>0</v>
      </c>
      <c r="U22" s="6" t="s">
        <v>114</v>
      </c>
      <c r="V22" s="4" t="s">
        <v>115</v>
      </c>
    </row>
    <row r="23" spans="1:22" x14ac:dyDescent="0.25">
      <c r="A23" s="4" t="s">
        <v>95</v>
      </c>
      <c r="B23" s="4" t="s">
        <v>33</v>
      </c>
      <c r="C23" s="4" t="s">
        <v>34</v>
      </c>
      <c r="D23" s="5" t="s">
        <v>105</v>
      </c>
      <c r="E23" s="6" t="s">
        <v>106</v>
      </c>
      <c r="F23" s="4" t="s">
        <v>107</v>
      </c>
      <c r="G23" s="7">
        <v>150.69</v>
      </c>
      <c r="H23" s="4" t="s">
        <v>108</v>
      </c>
      <c r="M23" s="6" t="s">
        <v>60</v>
      </c>
      <c r="N23" s="4" t="s">
        <v>101</v>
      </c>
      <c r="O23" s="7">
        <v>44.9</v>
      </c>
      <c r="P23" s="6">
        <v>1</v>
      </c>
      <c r="Q23" s="8">
        <v>0</v>
      </c>
      <c r="R23" s="7">
        <v>44.9</v>
      </c>
      <c r="S23" s="6" t="s">
        <v>112</v>
      </c>
      <c r="T23" s="5" t="s">
        <v>118</v>
      </c>
      <c r="U23" s="6" t="s">
        <v>114</v>
      </c>
      <c r="V23" s="4" t="s">
        <v>115</v>
      </c>
    </row>
    <row r="24" spans="1:22" x14ac:dyDescent="0.25">
      <c r="A24" s="4" t="s">
        <v>119</v>
      </c>
      <c r="B24" s="4" t="s">
        <v>33</v>
      </c>
      <c r="C24" s="4" t="s">
        <v>34</v>
      </c>
      <c r="D24" s="5" t="s">
        <v>105</v>
      </c>
      <c r="E24" s="6" t="s">
        <v>106</v>
      </c>
      <c r="F24" s="4" t="s">
        <v>107</v>
      </c>
      <c r="G24" s="7">
        <v>150.69</v>
      </c>
      <c r="H24" s="4" t="s">
        <v>108</v>
      </c>
      <c r="M24" s="6" t="s">
        <v>64</v>
      </c>
      <c r="N24" s="4" t="s">
        <v>120</v>
      </c>
      <c r="O24" s="7">
        <v>9.9</v>
      </c>
      <c r="P24" s="6">
        <v>1</v>
      </c>
      <c r="Q24" s="8">
        <v>0</v>
      </c>
      <c r="R24" s="7">
        <v>9.9</v>
      </c>
      <c r="S24" s="6" t="s">
        <v>112</v>
      </c>
      <c r="T24" s="5" t="s">
        <v>118</v>
      </c>
      <c r="U24" s="6" t="s">
        <v>114</v>
      </c>
      <c r="V24" s="4" t="s">
        <v>115</v>
      </c>
    </row>
    <row r="25" spans="1:22" x14ac:dyDescent="0.25">
      <c r="A25" s="4" t="s">
        <v>121</v>
      </c>
      <c r="B25" s="4" t="s">
        <v>33</v>
      </c>
      <c r="C25" s="4" t="s">
        <v>34</v>
      </c>
      <c r="D25" s="5" t="s">
        <v>105</v>
      </c>
      <c r="E25" s="6" t="s">
        <v>106</v>
      </c>
      <c r="F25" s="4" t="s">
        <v>107</v>
      </c>
      <c r="G25" s="7">
        <v>150.69</v>
      </c>
      <c r="H25" s="4" t="s">
        <v>108</v>
      </c>
      <c r="M25" s="6" t="s">
        <v>68</v>
      </c>
      <c r="N25" s="4" t="s">
        <v>122</v>
      </c>
      <c r="O25" s="7">
        <v>49.9</v>
      </c>
      <c r="P25" s="6">
        <v>1</v>
      </c>
      <c r="Q25" s="8">
        <v>0</v>
      </c>
      <c r="R25" s="7">
        <v>49.9</v>
      </c>
      <c r="S25" s="6" t="s">
        <v>112</v>
      </c>
      <c r="T25" s="5" t="s">
        <v>118</v>
      </c>
      <c r="U25" s="6" t="s">
        <v>114</v>
      </c>
      <c r="V25" s="4" t="s">
        <v>115</v>
      </c>
    </row>
    <row r="26" spans="1:22" x14ac:dyDescent="0.25">
      <c r="A26" s="4" t="s">
        <v>123</v>
      </c>
      <c r="B26" s="4" t="s">
        <v>124</v>
      </c>
      <c r="C26" s="4" t="s">
        <v>125</v>
      </c>
      <c r="D26" s="5" t="s">
        <v>96</v>
      </c>
      <c r="E26" s="6" t="s">
        <v>126</v>
      </c>
      <c r="F26" s="4" t="s">
        <v>127</v>
      </c>
      <c r="G26" s="7">
        <v>35.65</v>
      </c>
      <c r="H26" s="4" t="s">
        <v>128</v>
      </c>
      <c r="M26" s="6" t="s">
        <v>29</v>
      </c>
      <c r="N26" s="4" t="s">
        <v>129</v>
      </c>
      <c r="O26" s="7">
        <v>19.9</v>
      </c>
      <c r="P26" s="6">
        <v>1</v>
      </c>
      <c r="Q26" s="8">
        <v>0</v>
      </c>
      <c r="R26" s="7">
        <v>19.9</v>
      </c>
      <c r="U26" s="6" t="s">
        <v>130</v>
      </c>
      <c r="V26" s="4" t="s">
        <v>131</v>
      </c>
    </row>
    <row r="27" spans="1:23" x14ac:dyDescent="0.25">
      <c r="A27" s="4" t="s">
        <v>132</v>
      </c>
      <c r="B27" s="4" t="s">
        <v>124</v>
      </c>
      <c r="C27" s="4" t="s">
        <v>125</v>
      </c>
      <c r="D27" s="5" t="s">
        <v>96</v>
      </c>
      <c r="E27" s="6" t="s">
        <v>126</v>
      </c>
      <c r="F27" s="4" t="s">
        <v>127</v>
      </c>
      <c r="G27" s="7">
        <v>35.65</v>
      </c>
      <c r="H27" s="4" t="s">
        <v>128</v>
      </c>
      <c r="M27" s="6" t="s">
        <v>47</v>
      </c>
      <c r="N27" s="4" t="s">
        <v>133</v>
      </c>
      <c r="O27" s="7">
        <v>15.75</v>
      </c>
      <c r="P27" s="6">
        <v>1</v>
      </c>
      <c r="Q27" s="8">
        <v>0</v>
      </c>
      <c r="R27" s="7">
        <v>15.75</v>
      </c>
      <c r="U27" s="6" t="s">
        <v>130</v>
      </c>
      <c r="V27" s="4" t="s">
        <v>131</v>
      </c>
      <c r="W27" s="4" t="s">
        <v>134</v>
      </c>
    </row>
    <row r="28" spans="1:22" x14ac:dyDescent="0.25">
      <c r="A28" s="4" t="s">
        <v>135</v>
      </c>
      <c r="B28" s="4" t="s">
        <v>124</v>
      </c>
      <c r="C28" s="4" t="s">
        <v>136</v>
      </c>
      <c r="D28" s="5" t="s">
        <v>25</v>
      </c>
      <c r="E28" s="6" t="s">
        <v>137</v>
      </c>
      <c r="F28" s="4" t="s">
        <v>138</v>
      </c>
      <c r="G28" s="7">
        <v>33.9</v>
      </c>
      <c r="H28" s="4" t="s">
        <v>128</v>
      </c>
      <c r="M28" s="6" t="s">
        <v>29</v>
      </c>
      <c r="N28" s="4" t="s">
        <v>139</v>
      </c>
      <c r="O28" s="7">
        <v>33.9</v>
      </c>
      <c r="P28" s="6">
        <v>1</v>
      </c>
      <c r="Q28" s="8">
        <v>0</v>
      </c>
      <c r="R28" s="7">
        <v>33.9</v>
      </c>
      <c r="U28" s="6" t="s">
        <v>140</v>
      </c>
      <c r="V28" s="4" t="s">
        <v>141</v>
      </c>
    </row>
    <row r="29" spans="1:22" x14ac:dyDescent="0.25">
      <c r="A29" s="4" t="s">
        <v>59</v>
      </c>
      <c r="B29" s="4" t="s">
        <v>124</v>
      </c>
      <c r="C29" s="4" t="s">
        <v>136</v>
      </c>
      <c r="D29" s="5" t="s">
        <v>25</v>
      </c>
      <c r="E29" s="6" t="s">
        <v>142</v>
      </c>
      <c r="F29" s="4" t="s">
        <v>143</v>
      </c>
      <c r="G29" s="7">
        <v>40.4</v>
      </c>
      <c r="H29" s="4" t="s">
        <v>128</v>
      </c>
      <c r="I29" s="6" t="s">
        <v>144</v>
      </c>
      <c r="J29" s="4" t="s">
        <v>145</v>
      </c>
      <c r="K29" s="4" t="s">
        <v>146</v>
      </c>
      <c r="L29" s="4" t="s">
        <v>147</v>
      </c>
      <c r="M29" s="6" t="s">
        <v>29</v>
      </c>
      <c r="N29" s="4" t="s">
        <v>61</v>
      </c>
      <c r="O29" s="7">
        <v>7.9</v>
      </c>
      <c r="P29" s="6">
        <v>1</v>
      </c>
      <c r="Q29" s="8">
        <v>0</v>
      </c>
      <c r="R29" s="7">
        <v>7.9</v>
      </c>
      <c r="U29" s="6" t="s">
        <v>130</v>
      </c>
      <c r="V29" s="4" t="s">
        <v>131</v>
      </c>
    </row>
    <row r="30" spans="1:22" x14ac:dyDescent="0.25">
      <c r="A30" s="4" t="s">
        <v>148</v>
      </c>
      <c r="B30" s="4" t="s">
        <v>124</v>
      </c>
      <c r="C30" s="4" t="s">
        <v>136</v>
      </c>
      <c r="D30" s="5" t="s">
        <v>25</v>
      </c>
      <c r="E30" s="6" t="s">
        <v>142</v>
      </c>
      <c r="F30" s="4" t="s">
        <v>143</v>
      </c>
      <c r="G30" s="7">
        <v>40.4</v>
      </c>
      <c r="H30" s="4" t="s">
        <v>128</v>
      </c>
      <c r="I30" s="6" t="s">
        <v>144</v>
      </c>
      <c r="J30" s="4" t="s">
        <v>145</v>
      </c>
      <c r="K30" s="4" t="s">
        <v>146</v>
      </c>
      <c r="L30" s="4" t="s">
        <v>147</v>
      </c>
      <c r="M30" s="6" t="s">
        <v>47</v>
      </c>
      <c r="N30" s="4" t="s">
        <v>149</v>
      </c>
      <c r="O30" s="7">
        <v>32.5</v>
      </c>
      <c r="P30" s="6">
        <v>1</v>
      </c>
      <c r="Q30" s="8">
        <v>0</v>
      </c>
      <c r="R30" s="7">
        <v>32.5</v>
      </c>
      <c r="U30" s="6" t="s">
        <v>130</v>
      </c>
      <c r="V30" s="4" t="s">
        <v>131</v>
      </c>
    </row>
    <row r="31" spans="1:22" x14ac:dyDescent="0.25">
      <c r="A31" s="4" t="s">
        <v>150</v>
      </c>
      <c r="B31" s="4" t="s">
        <v>124</v>
      </c>
      <c r="C31" s="4" t="s">
        <v>136</v>
      </c>
      <c r="D31" s="5" t="s">
        <v>151</v>
      </c>
      <c r="E31" s="6" t="s">
        <v>152</v>
      </c>
      <c r="F31" s="4" t="s">
        <v>153</v>
      </c>
      <c r="G31" s="7">
        <v>108.87</v>
      </c>
      <c r="H31" s="4" t="s">
        <v>128</v>
      </c>
      <c r="M31" s="6" t="s">
        <v>29</v>
      </c>
      <c r="N31" s="4" t="s">
        <v>154</v>
      </c>
      <c r="O31" s="7">
        <v>9.9</v>
      </c>
      <c r="P31" s="6">
        <v>1</v>
      </c>
      <c r="Q31" s="8">
        <v>0</v>
      </c>
      <c r="R31" s="7">
        <v>9.9</v>
      </c>
      <c r="U31" s="6" t="s">
        <v>130</v>
      </c>
      <c r="V31" s="4" t="s">
        <v>131</v>
      </c>
    </row>
    <row r="32" spans="1:22" x14ac:dyDescent="0.25">
      <c r="A32" s="4" t="s">
        <v>155</v>
      </c>
      <c r="B32" s="4" t="s">
        <v>124</v>
      </c>
      <c r="C32" s="4" t="s">
        <v>136</v>
      </c>
      <c r="D32" s="5" t="s">
        <v>151</v>
      </c>
      <c r="E32" s="6" t="s">
        <v>152</v>
      </c>
      <c r="F32" s="4" t="s">
        <v>153</v>
      </c>
      <c r="G32" s="7">
        <v>108.87</v>
      </c>
      <c r="H32" s="4" t="s">
        <v>128</v>
      </c>
      <c r="M32" s="6" t="s">
        <v>47</v>
      </c>
      <c r="N32" s="4" t="s">
        <v>156</v>
      </c>
      <c r="O32" s="7">
        <v>29.49</v>
      </c>
      <c r="P32" s="6">
        <v>2</v>
      </c>
      <c r="Q32" s="8">
        <v>0</v>
      </c>
      <c r="R32" s="7">
        <v>58.98</v>
      </c>
      <c r="U32" s="6" t="s">
        <v>130</v>
      </c>
      <c r="V32" s="4" t="s">
        <v>131</v>
      </c>
    </row>
    <row r="33" spans="1:22" x14ac:dyDescent="0.25">
      <c r="A33" s="4" t="s">
        <v>157</v>
      </c>
      <c r="B33" s="4" t="s">
        <v>124</v>
      </c>
      <c r="C33" s="4" t="s">
        <v>136</v>
      </c>
      <c r="D33" s="5" t="s">
        <v>151</v>
      </c>
      <c r="E33" s="6" t="s">
        <v>152</v>
      </c>
      <c r="F33" s="4" t="s">
        <v>153</v>
      </c>
      <c r="G33" s="7">
        <v>108.87</v>
      </c>
      <c r="H33" s="4" t="s">
        <v>128</v>
      </c>
      <c r="M33" s="6" t="s">
        <v>50</v>
      </c>
      <c r="N33" s="4" t="s">
        <v>158</v>
      </c>
      <c r="O33" s="7">
        <v>39.99</v>
      </c>
      <c r="P33" s="6">
        <v>1</v>
      </c>
      <c r="Q33" s="8">
        <v>0</v>
      </c>
      <c r="R33" s="7">
        <v>39.99</v>
      </c>
      <c r="U33" s="6" t="s">
        <v>130</v>
      </c>
      <c r="V33" s="4" t="s">
        <v>131</v>
      </c>
    </row>
    <row r="34" spans="1:22" x14ac:dyDescent="0.25">
      <c r="A34" s="4" t="s">
        <v>159</v>
      </c>
      <c r="B34" s="4" t="s">
        <v>124</v>
      </c>
      <c r="C34" s="4" t="s">
        <v>136</v>
      </c>
      <c r="D34" s="5" t="s">
        <v>160</v>
      </c>
      <c r="E34" s="6" t="s">
        <v>161</v>
      </c>
      <c r="F34" s="4" t="s">
        <v>162</v>
      </c>
      <c r="G34" s="7">
        <v>42.29</v>
      </c>
      <c r="H34" s="4" t="s">
        <v>128</v>
      </c>
      <c r="I34" s="6" t="s">
        <v>163</v>
      </c>
      <c r="J34" s="4" t="s">
        <v>164</v>
      </c>
      <c r="K34" s="4" t="s">
        <v>165</v>
      </c>
      <c r="L34" s="4" t="s">
        <v>166</v>
      </c>
      <c r="M34" s="6" t="s">
        <v>29</v>
      </c>
      <c r="N34" s="4" t="s">
        <v>167</v>
      </c>
      <c r="O34" s="7">
        <v>2.5</v>
      </c>
      <c r="P34" s="6">
        <v>2</v>
      </c>
      <c r="Q34" s="8">
        <v>0</v>
      </c>
      <c r="R34" s="7">
        <v>5</v>
      </c>
      <c r="U34" s="6" t="s">
        <v>130</v>
      </c>
      <c r="V34" s="4" t="s">
        <v>131</v>
      </c>
    </row>
    <row r="35" spans="1:22" x14ac:dyDescent="0.25">
      <c r="A35" s="4" t="s">
        <v>168</v>
      </c>
      <c r="B35" s="4" t="s">
        <v>124</v>
      </c>
      <c r="C35" s="4" t="s">
        <v>136</v>
      </c>
      <c r="D35" s="5" t="s">
        <v>160</v>
      </c>
      <c r="E35" s="6" t="s">
        <v>161</v>
      </c>
      <c r="F35" s="4" t="s">
        <v>162</v>
      </c>
      <c r="G35" s="7">
        <v>42.29</v>
      </c>
      <c r="H35" s="4" t="s">
        <v>128</v>
      </c>
      <c r="I35" s="6" t="s">
        <v>163</v>
      </c>
      <c r="J35" s="4" t="s">
        <v>164</v>
      </c>
      <c r="K35" s="4" t="s">
        <v>165</v>
      </c>
      <c r="L35" s="4" t="s">
        <v>166</v>
      </c>
      <c r="M35" s="6" t="s">
        <v>47</v>
      </c>
      <c r="N35" s="4" t="s">
        <v>169</v>
      </c>
      <c r="O35" s="7">
        <v>32.9</v>
      </c>
      <c r="P35" s="6">
        <v>1</v>
      </c>
      <c r="Q35" s="8">
        <v>0</v>
      </c>
      <c r="R35" s="7">
        <v>32.9</v>
      </c>
      <c r="U35" s="6" t="s">
        <v>130</v>
      </c>
      <c r="V35" s="4" t="s">
        <v>131</v>
      </c>
    </row>
    <row r="36" spans="1:22" x14ac:dyDescent="0.25">
      <c r="A36" s="4" t="s">
        <v>170</v>
      </c>
      <c r="B36" s="4" t="s">
        <v>124</v>
      </c>
      <c r="C36" s="4" t="s">
        <v>136</v>
      </c>
      <c r="D36" s="5" t="s">
        <v>160</v>
      </c>
      <c r="E36" s="6" t="s">
        <v>161</v>
      </c>
      <c r="F36" s="4" t="s">
        <v>162</v>
      </c>
      <c r="G36" s="7">
        <v>42.29</v>
      </c>
      <c r="H36" s="4" t="s">
        <v>128</v>
      </c>
      <c r="I36" s="6" t="s">
        <v>163</v>
      </c>
      <c r="J36" s="4" t="s">
        <v>164</v>
      </c>
      <c r="K36" s="4" t="s">
        <v>165</v>
      </c>
      <c r="L36" s="4" t="s">
        <v>166</v>
      </c>
      <c r="M36" s="6" t="s">
        <v>50</v>
      </c>
      <c r="N36" s="4" t="s">
        <v>171</v>
      </c>
      <c r="O36" s="8">
        <v>0</v>
      </c>
      <c r="P36" s="6">
        <v>1</v>
      </c>
      <c r="Q36" s="8">
        <v>0</v>
      </c>
      <c r="R36" s="8">
        <v>0</v>
      </c>
      <c r="U36" s="6" t="s">
        <v>130</v>
      </c>
      <c r="V36" s="4" t="s">
        <v>131</v>
      </c>
    </row>
    <row r="37" spans="1:22" x14ac:dyDescent="0.25">
      <c r="A37" s="4" t="s">
        <v>172</v>
      </c>
      <c r="B37" s="4" t="s">
        <v>124</v>
      </c>
      <c r="C37" s="4" t="s">
        <v>136</v>
      </c>
      <c r="D37" s="5" t="s">
        <v>160</v>
      </c>
      <c r="E37" s="6" t="s">
        <v>161</v>
      </c>
      <c r="F37" s="4" t="s">
        <v>162</v>
      </c>
      <c r="G37" s="7">
        <v>42.29</v>
      </c>
      <c r="H37" s="4" t="s">
        <v>128</v>
      </c>
      <c r="I37" s="6" t="s">
        <v>163</v>
      </c>
      <c r="J37" s="4" t="s">
        <v>164</v>
      </c>
      <c r="K37" s="4" t="s">
        <v>165</v>
      </c>
      <c r="L37" s="4" t="s">
        <v>166</v>
      </c>
      <c r="M37" s="6" t="s">
        <v>53</v>
      </c>
      <c r="N37" s="4" t="s">
        <v>173</v>
      </c>
      <c r="O37" s="7">
        <v>4.39</v>
      </c>
      <c r="P37" s="6">
        <v>1</v>
      </c>
      <c r="Q37" s="8">
        <v>0</v>
      </c>
      <c r="R37" s="7">
        <v>4.39</v>
      </c>
      <c r="U37" s="6" t="s">
        <v>130</v>
      </c>
      <c r="V37" s="4" t="s">
        <v>131</v>
      </c>
    </row>
    <row r="38" spans="1:22" x14ac:dyDescent="0.25">
      <c r="A38" s="4" t="s">
        <v>174</v>
      </c>
      <c r="B38" s="4" t="s">
        <v>124</v>
      </c>
      <c r="C38" s="4" t="s">
        <v>175</v>
      </c>
      <c r="D38" s="5" t="s">
        <v>176</v>
      </c>
      <c r="E38" s="6" t="s">
        <v>177</v>
      </c>
      <c r="F38" s="4" t="s">
        <v>178</v>
      </c>
      <c r="G38" s="8">
        <v>0</v>
      </c>
      <c r="H38" s="4" t="s">
        <v>179</v>
      </c>
      <c r="M38" s="6" t="s">
        <v>29</v>
      </c>
      <c r="N38" s="4" t="s">
        <v>180</v>
      </c>
      <c r="O38" s="8">
        <v>0</v>
      </c>
      <c r="P38" s="6">
        <v>1</v>
      </c>
      <c r="Q38" s="8">
        <v>0</v>
      </c>
      <c r="R38" s="8">
        <v>0</v>
      </c>
      <c r="U38" s="6" t="s">
        <v>181</v>
      </c>
      <c r="V38" s="4" t="s">
        <v>182</v>
      </c>
    </row>
    <row r="39" spans="1:22" x14ac:dyDescent="0.25">
      <c r="A39" s="4" t="s">
        <v>67</v>
      </c>
      <c r="B39" s="4" t="s">
        <v>124</v>
      </c>
      <c r="C39" s="4" t="s">
        <v>175</v>
      </c>
      <c r="D39" s="5" t="s">
        <v>176</v>
      </c>
      <c r="E39" s="6" t="s">
        <v>177</v>
      </c>
      <c r="F39" s="4" t="s">
        <v>178</v>
      </c>
      <c r="G39" s="8">
        <v>0</v>
      </c>
      <c r="H39" s="4" t="s">
        <v>179</v>
      </c>
      <c r="M39" s="6" t="s">
        <v>47</v>
      </c>
      <c r="N39" s="4" t="s">
        <v>69</v>
      </c>
      <c r="O39" s="8">
        <v>0</v>
      </c>
      <c r="P39" s="6">
        <v>1</v>
      </c>
      <c r="Q39" s="8">
        <v>0</v>
      </c>
      <c r="R39" s="8">
        <v>0</v>
      </c>
      <c r="U39" s="6" t="s">
        <v>181</v>
      </c>
      <c r="V39" s="4" t="s">
        <v>182</v>
      </c>
    </row>
    <row r="40" spans="1:22" x14ac:dyDescent="0.25">
      <c r="A40" s="4" t="s">
        <v>183</v>
      </c>
      <c r="B40" s="4" t="s">
        <v>124</v>
      </c>
      <c r="C40" s="4" t="s">
        <v>175</v>
      </c>
      <c r="D40" s="5" t="s">
        <v>176</v>
      </c>
      <c r="E40" s="6" t="s">
        <v>177</v>
      </c>
      <c r="F40" s="4" t="s">
        <v>178</v>
      </c>
      <c r="G40" s="8">
        <v>0</v>
      </c>
      <c r="H40" s="4" t="s">
        <v>179</v>
      </c>
      <c r="M40" s="6" t="s">
        <v>50</v>
      </c>
      <c r="N40" s="4" t="s">
        <v>184</v>
      </c>
      <c r="O40" s="7">
        <v>10</v>
      </c>
      <c r="P40" s="6">
        <v>1</v>
      </c>
      <c r="Q40" s="7">
        <v>-10</v>
      </c>
      <c r="R40" s="8">
        <v>0</v>
      </c>
      <c r="U40" s="6" t="s">
        <v>181</v>
      </c>
      <c r="V40" s="4" t="s">
        <v>182</v>
      </c>
    </row>
    <row r="41" spans="1:22" x14ac:dyDescent="0.25">
      <c r="A41" s="4" t="s">
        <v>76</v>
      </c>
      <c r="B41" s="4" t="s">
        <v>185</v>
      </c>
      <c r="C41" s="4" t="s">
        <v>186</v>
      </c>
      <c r="D41" s="5" t="s">
        <v>187</v>
      </c>
      <c r="E41" s="6" t="s">
        <v>188</v>
      </c>
      <c r="F41" s="4" t="s">
        <v>189</v>
      </c>
      <c r="G41" s="7">
        <v>6.9</v>
      </c>
      <c r="H41" s="4" t="s">
        <v>190</v>
      </c>
      <c r="M41" s="6" t="s">
        <v>29</v>
      </c>
      <c r="N41" s="4" t="s">
        <v>78</v>
      </c>
      <c r="O41" s="7">
        <v>6.9</v>
      </c>
      <c r="P41" s="6">
        <v>1</v>
      </c>
      <c r="Q41" s="8">
        <v>0</v>
      </c>
      <c r="R41" s="7">
        <v>6.9</v>
      </c>
      <c r="U41" s="6" t="s">
        <v>191</v>
      </c>
      <c r="V41" s="4" t="str">
        <f>=" NICOLE KAWANE FERREIRA DE MACEDO"</f>
        <v> NICOLE KAWANE FERREIRA DE MACEDO</v>
      </c>
    </row>
    <row r="42" spans="1:22" x14ac:dyDescent="0.25">
      <c r="A42" s="4" t="s">
        <v>192</v>
      </c>
      <c r="B42" s="4" t="s">
        <v>193</v>
      </c>
      <c r="C42" s="4" t="s">
        <v>194</v>
      </c>
      <c r="D42" s="5" t="s">
        <v>195</v>
      </c>
      <c r="E42" s="6" t="s">
        <v>196</v>
      </c>
      <c r="F42" s="4" t="s">
        <v>197</v>
      </c>
      <c r="G42" s="7">
        <v>116.6</v>
      </c>
      <c r="H42" s="4" t="s">
        <v>198</v>
      </c>
      <c r="M42" s="6" t="s">
        <v>29</v>
      </c>
      <c r="N42" s="4" t="s">
        <v>199</v>
      </c>
      <c r="O42" s="7">
        <v>29</v>
      </c>
      <c r="P42" s="6">
        <v>1</v>
      </c>
      <c r="Q42" s="8">
        <v>0</v>
      </c>
      <c r="R42" s="7">
        <v>29</v>
      </c>
      <c r="S42" s="6" t="s">
        <v>200</v>
      </c>
      <c r="T42" s="5" t="s">
        <v>201</v>
      </c>
      <c r="U42" s="6" t="s">
        <v>202</v>
      </c>
      <c r="V42" s="4" t="s">
        <v>203</v>
      </c>
    </row>
    <row r="43" spans="1:22" x14ac:dyDescent="0.25">
      <c r="A43" s="4" t="s">
        <v>204</v>
      </c>
      <c r="B43" s="4" t="s">
        <v>193</v>
      </c>
      <c r="C43" s="4" t="s">
        <v>194</v>
      </c>
      <c r="D43" s="5" t="s">
        <v>195</v>
      </c>
      <c r="E43" s="6" t="s">
        <v>196</v>
      </c>
      <c r="F43" s="4" t="s">
        <v>197</v>
      </c>
      <c r="G43" s="7">
        <v>116.6</v>
      </c>
      <c r="H43" s="4" t="s">
        <v>198</v>
      </c>
      <c r="M43" s="6" t="s">
        <v>47</v>
      </c>
      <c r="N43" s="4" t="s">
        <v>205</v>
      </c>
      <c r="O43" s="7">
        <v>37</v>
      </c>
      <c r="P43" s="6">
        <v>1</v>
      </c>
      <c r="Q43" s="8">
        <v>0</v>
      </c>
      <c r="R43" s="7">
        <v>37</v>
      </c>
      <c r="S43" s="6" t="s">
        <v>200</v>
      </c>
      <c r="T43" s="5" t="s">
        <v>206</v>
      </c>
      <c r="U43" s="6" t="s">
        <v>202</v>
      </c>
      <c r="V43" s="4" t="s">
        <v>203</v>
      </c>
    </row>
    <row r="44" spans="1:22" x14ac:dyDescent="0.25">
      <c r="A44" s="4" t="s">
        <v>207</v>
      </c>
      <c r="B44" s="4" t="s">
        <v>193</v>
      </c>
      <c r="C44" s="4" t="s">
        <v>194</v>
      </c>
      <c r="D44" s="5" t="s">
        <v>195</v>
      </c>
      <c r="E44" s="6" t="s">
        <v>196</v>
      </c>
      <c r="F44" s="4" t="s">
        <v>197</v>
      </c>
      <c r="G44" s="7">
        <v>116.6</v>
      </c>
      <c r="H44" s="4" t="s">
        <v>198</v>
      </c>
      <c r="M44" s="6" t="s">
        <v>50</v>
      </c>
      <c r="N44" s="4" t="s">
        <v>208</v>
      </c>
      <c r="O44" s="7">
        <v>40</v>
      </c>
      <c r="P44" s="6">
        <v>1</v>
      </c>
      <c r="Q44" s="8">
        <v>0</v>
      </c>
      <c r="R44" s="7">
        <v>40</v>
      </c>
      <c r="S44" s="6" t="s">
        <v>200</v>
      </c>
      <c r="T44" s="5" t="s">
        <v>206</v>
      </c>
      <c r="U44" s="6" t="s">
        <v>202</v>
      </c>
      <c r="V44" s="4" t="s">
        <v>203</v>
      </c>
    </row>
    <row r="45" spans="1:22" x14ac:dyDescent="0.25">
      <c r="A45" s="4" t="s">
        <v>209</v>
      </c>
      <c r="B45" s="4" t="s">
        <v>193</v>
      </c>
      <c r="C45" s="4" t="s">
        <v>194</v>
      </c>
      <c r="D45" s="5" t="s">
        <v>195</v>
      </c>
      <c r="E45" s="6" t="s">
        <v>196</v>
      </c>
      <c r="F45" s="4" t="s">
        <v>197</v>
      </c>
      <c r="G45" s="7">
        <v>116.6</v>
      </c>
      <c r="H45" s="4" t="s">
        <v>198</v>
      </c>
      <c r="M45" s="6" t="s">
        <v>53</v>
      </c>
      <c r="N45" s="4" t="s">
        <v>210</v>
      </c>
      <c r="O45" s="7">
        <v>10.6</v>
      </c>
      <c r="P45" s="6">
        <v>1</v>
      </c>
      <c r="Q45" s="8">
        <v>0</v>
      </c>
      <c r="R45" s="7">
        <v>10.6</v>
      </c>
      <c r="U45" s="6" t="s">
        <v>211</v>
      </c>
      <c r="V45" s="4" t="s">
        <v>212</v>
      </c>
    </row>
    <row r="46" spans="1:22" x14ac:dyDescent="0.25">
      <c r="A46" s="4" t="s">
        <v>22</v>
      </c>
      <c r="B46" s="4" t="s">
        <v>213</v>
      </c>
      <c r="C46" s="4" t="s">
        <v>214</v>
      </c>
      <c r="D46" s="5" t="s">
        <v>35</v>
      </c>
      <c r="E46" s="6" t="s">
        <v>215</v>
      </c>
      <c r="F46" s="4" t="s">
        <v>216</v>
      </c>
      <c r="G46" s="7">
        <v>2.89</v>
      </c>
      <c r="H46" s="4" t="s">
        <v>28</v>
      </c>
      <c r="M46" s="6" t="s">
        <v>29</v>
      </c>
      <c r="N46" s="4" t="s">
        <v>30</v>
      </c>
      <c r="O46" s="7">
        <v>2.89</v>
      </c>
      <c r="P46" s="6">
        <v>1</v>
      </c>
      <c r="Q46" s="8">
        <v>0</v>
      </c>
      <c r="R46" s="7">
        <v>2.89</v>
      </c>
      <c r="U46" s="6" t="s">
        <v>31</v>
      </c>
      <c r="V46" s="4" t="s">
        <v>28</v>
      </c>
    </row>
    <row r="47" spans="1:22" x14ac:dyDescent="0.25">
      <c r="A47" s="4" t="s">
        <v>217</v>
      </c>
      <c r="B47" s="4" t="s">
        <v>213</v>
      </c>
      <c r="C47" s="4" t="s">
        <v>218</v>
      </c>
      <c r="D47" s="5" t="s">
        <v>219</v>
      </c>
      <c r="E47" s="6" t="s">
        <v>220</v>
      </c>
      <c r="F47" s="4" t="s">
        <v>221</v>
      </c>
      <c r="G47" s="7">
        <v>19.9</v>
      </c>
      <c r="H47" s="4" t="s">
        <v>222</v>
      </c>
      <c r="I47" s="6" t="s">
        <v>223</v>
      </c>
      <c r="J47" s="4" t="s">
        <v>224</v>
      </c>
      <c r="M47" s="6" t="s">
        <v>29</v>
      </c>
      <c r="N47" s="4" t="s">
        <v>225</v>
      </c>
      <c r="O47" s="7">
        <v>19.9</v>
      </c>
      <c r="P47" s="6">
        <v>1</v>
      </c>
      <c r="Q47" s="8">
        <v>0</v>
      </c>
      <c r="R47" s="7">
        <v>19.9</v>
      </c>
      <c r="U47" s="6" t="s">
        <v>226</v>
      </c>
      <c r="V47" s="4" t="s">
        <v>227</v>
      </c>
    </row>
    <row r="48" spans="1:22" x14ac:dyDescent="0.25">
      <c r="A48" s="4" t="s">
        <v>228</v>
      </c>
      <c r="B48" s="4" t="str">
        <f>="BIGGS 04 - WINSTON "</f>
        <v>BIGGS 04 - WINSTON </v>
      </c>
      <c r="C48" s="4" t="s">
        <v>229</v>
      </c>
      <c r="D48" s="5" t="s">
        <v>25</v>
      </c>
      <c r="E48" s="6" t="s">
        <v>230</v>
      </c>
      <c r="F48" s="4" t="s">
        <v>231</v>
      </c>
      <c r="G48" s="7">
        <v>10</v>
      </c>
      <c r="H48" s="4" t="s">
        <v>232</v>
      </c>
      <c r="M48" s="6" t="s">
        <v>29</v>
      </c>
      <c r="N48" s="4" t="s">
        <v>233</v>
      </c>
      <c r="O48" s="7">
        <v>10</v>
      </c>
      <c r="P48" s="6">
        <v>1</v>
      </c>
      <c r="Q48" s="8">
        <v>0</v>
      </c>
      <c r="R48" s="7">
        <v>10</v>
      </c>
      <c r="U48" s="6" t="s">
        <v>234</v>
      </c>
      <c r="V48" s="4" t="str">
        <f>="GIOVANA MARIA DE SOUZA ROGAL "</f>
        <v>GIOVANA MARIA DE SOUZA ROGAL </v>
      </c>
    </row>
    <row r="49" spans="1:22" x14ac:dyDescent="0.25">
      <c r="A49" s="4" t="s">
        <v>67</v>
      </c>
      <c r="B49" s="4" t="str">
        <f>="BIGGS 04 - WINSTON "</f>
        <v>BIGGS 04 - WINSTON </v>
      </c>
      <c r="C49" s="4" t="s">
        <v>229</v>
      </c>
      <c r="D49" s="5" t="s">
        <v>25</v>
      </c>
      <c r="E49" s="6" t="s">
        <v>230</v>
      </c>
      <c r="F49" s="4" t="s">
        <v>231</v>
      </c>
      <c r="G49" s="7">
        <v>10</v>
      </c>
      <c r="H49" s="4" t="s">
        <v>232</v>
      </c>
      <c r="M49" s="6" t="s">
        <v>47</v>
      </c>
      <c r="N49" s="4" t="s">
        <v>69</v>
      </c>
      <c r="O49" s="8">
        <v>0</v>
      </c>
      <c r="P49" s="6">
        <v>1</v>
      </c>
      <c r="Q49" s="8">
        <v>0</v>
      </c>
      <c r="R49" s="8">
        <v>0</v>
      </c>
      <c r="U49" s="6" t="s">
        <v>234</v>
      </c>
      <c r="V49" s="4" t="str">
        <f>="GIOVANA MARIA DE SOUZA ROGAL "</f>
        <v>GIOVANA MARIA DE SOUZA ROGAL </v>
      </c>
    </row>
    <row r="50" spans="1:22" x14ac:dyDescent="0.25">
      <c r="A50" s="4" t="s">
        <v>235</v>
      </c>
      <c r="B50" s="4" t="str">
        <f>="BIGGS 04 - WINSTON "</f>
        <v>BIGGS 04 - WINSTON </v>
      </c>
      <c r="C50" s="4" t="s">
        <v>236</v>
      </c>
      <c r="D50" s="5" t="s">
        <v>160</v>
      </c>
      <c r="E50" s="6" t="s">
        <v>237</v>
      </c>
      <c r="F50" s="4" t="s">
        <v>238</v>
      </c>
      <c r="G50" s="8">
        <v>0</v>
      </c>
      <c r="H50" s="4" t="str">
        <f>="LARISSA RUFINO IZIDORIO DE PAULA "</f>
        <v>LARISSA RUFINO IZIDORIO DE PAULA </v>
      </c>
      <c r="I50" s="6" t="s">
        <v>239</v>
      </c>
      <c r="J50" s="4" t="s">
        <v>240</v>
      </c>
      <c r="M50" s="6" t="s">
        <v>29</v>
      </c>
      <c r="N50" s="4" t="s">
        <v>241</v>
      </c>
      <c r="O50" s="7">
        <v>21.9</v>
      </c>
      <c r="P50" s="6">
        <v>2</v>
      </c>
      <c r="Q50" s="7">
        <v>-43.8</v>
      </c>
      <c r="R50" s="8">
        <v>0</v>
      </c>
      <c r="U50" s="6" t="s">
        <v>242</v>
      </c>
      <c r="V50" s="4" t="s">
        <v>243</v>
      </c>
    </row>
    <row r="51" spans="1:22" x14ac:dyDescent="0.25">
      <c r="A51" s="4" t="s">
        <v>59</v>
      </c>
      <c r="B51" s="4" t="s">
        <v>244</v>
      </c>
      <c r="C51" s="4" t="s">
        <v>245</v>
      </c>
      <c r="D51" s="5" t="s">
        <v>246</v>
      </c>
      <c r="E51" s="6" t="s">
        <v>247</v>
      </c>
      <c r="F51" s="4" t="s">
        <v>248</v>
      </c>
      <c r="G51" s="8">
        <v>0</v>
      </c>
      <c r="H51" s="4" t="s">
        <v>249</v>
      </c>
      <c r="M51" s="6" t="s">
        <v>29</v>
      </c>
      <c r="N51" s="4" t="s">
        <v>61</v>
      </c>
      <c r="O51" s="7">
        <v>7.9</v>
      </c>
      <c r="P51" s="6">
        <v>1</v>
      </c>
      <c r="Q51" s="7">
        <v>-7.9</v>
      </c>
      <c r="R51" s="8">
        <v>0</v>
      </c>
      <c r="U51" s="6" t="s">
        <v>250</v>
      </c>
      <c r="V51" s="4" t="s">
        <v>251</v>
      </c>
    </row>
    <row r="52" spans="1:22" x14ac:dyDescent="0.25">
      <c r="A52" s="4" t="s">
        <v>252</v>
      </c>
      <c r="B52" s="4" t="s">
        <v>244</v>
      </c>
      <c r="C52" s="4" t="s">
        <v>245</v>
      </c>
      <c r="D52" s="5" t="s">
        <v>246</v>
      </c>
      <c r="E52" s="6" t="s">
        <v>247</v>
      </c>
      <c r="F52" s="4" t="s">
        <v>248</v>
      </c>
      <c r="G52" s="8">
        <v>0</v>
      </c>
      <c r="H52" s="4" t="s">
        <v>249</v>
      </c>
      <c r="M52" s="6" t="s">
        <v>47</v>
      </c>
      <c r="N52" s="4" t="s">
        <v>253</v>
      </c>
      <c r="O52" s="7">
        <v>17.9</v>
      </c>
      <c r="P52" s="6">
        <v>1</v>
      </c>
      <c r="Q52" s="7">
        <v>-17.9</v>
      </c>
      <c r="R52" s="8">
        <v>0</v>
      </c>
      <c r="U52" s="6" t="s">
        <v>250</v>
      </c>
      <c r="V52" s="4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2026-10-30T19:00:33Z</dcterms:created>
  <dcterms:modified xsi:type="dcterms:W3CDTF">2026-10-30T19:00:33Z</dcterms:modified>
</cp:coreProperties>
</file>